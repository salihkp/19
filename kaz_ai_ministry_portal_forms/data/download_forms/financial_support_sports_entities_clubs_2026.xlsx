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fatima.alsuwaidi\Desktop\"/>
    </mc:Choice>
  </mc:AlternateContent>
  <xr:revisionPtr revIDLastSave="0" documentId="13_ncr:1_{D763E2C9-8811-43EA-9F3B-78F674A87710}" xr6:coauthVersionLast="47" xr6:coauthVersionMax="47" xr10:uidLastSave="{00000000-0000-0000-0000-000000000000}"/>
  <bookViews>
    <workbookView xWindow="-120" yWindow="-120" windowWidth="29040" windowHeight="15720" tabRatio="834" xr2:uid="{00000000-000D-0000-FFFF-FFFF00000000}"/>
  </bookViews>
  <sheets>
    <sheet name="اجمالى الدعم المالى 2026" sheetId="1" r:id="rId1"/>
  </sheets>
  <definedNames>
    <definedName name="_xlnm.Print_Area" localSheetId="0">'اجمالى الدعم المالى 2026'!$A$1:$AM$46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" i="1" l="1"/>
  <c r="K36" i="1"/>
  <c r="Y7" i="1" l="1"/>
  <c r="Y17" i="1"/>
  <c r="Y5" i="1"/>
  <c r="V18" i="1"/>
  <c r="Y8" i="1"/>
  <c r="R42" i="1"/>
  <c r="Y14" i="1" l="1"/>
  <c r="Y15" i="1"/>
  <c r="Y10" i="1"/>
  <c r="Y4" i="1"/>
  <c r="Y12" i="1"/>
  <c r="Y11" i="1"/>
  <c r="R39" i="1" l="1"/>
  <c r="E36" i="1" l="1"/>
  <c r="F36" i="1"/>
  <c r="H36" i="1"/>
  <c r="I36" i="1"/>
  <c r="J36" i="1"/>
  <c r="L36" i="1"/>
  <c r="M36" i="1"/>
  <c r="N36" i="1"/>
  <c r="O36" i="1"/>
  <c r="P36" i="1"/>
  <c r="Q36" i="1"/>
  <c r="D36" i="1"/>
  <c r="D45" i="1"/>
  <c r="AH7" i="1" l="1"/>
  <c r="AC7" i="1"/>
  <c r="R38" i="1" l="1"/>
  <c r="R40" i="1"/>
  <c r="R41" i="1"/>
  <c r="R36" i="1"/>
  <c r="AI7" i="1"/>
  <c r="AD7" i="1"/>
  <c r="AM6" i="1" s="1"/>
  <c r="Y9" i="1" l="1"/>
  <c r="Y16" i="1"/>
  <c r="Y13" i="1"/>
  <c r="Y6" i="1"/>
  <c r="W18" i="1"/>
  <c r="R45" i="1"/>
  <c r="AM4" i="1" s="1"/>
  <c r="V32" i="1" l="1"/>
  <c r="Y18" i="1"/>
  <c r="AM5" i="1" s="1"/>
  <c r="X18" i="1"/>
  <c r="AM8" i="1" l="1"/>
  <c r="AM12" i="1" s="1"/>
</calcChain>
</file>

<file path=xl/sharedStrings.xml><?xml version="1.0" encoding="utf-8"?>
<sst xmlns="http://schemas.openxmlformats.org/spreadsheetml/2006/main" count="167" uniqueCount="106">
  <si>
    <t>م</t>
  </si>
  <si>
    <t xml:space="preserve">الجهة الرياضية  </t>
  </si>
  <si>
    <t>الرواتب</t>
  </si>
  <si>
    <t xml:space="preserve">مصروفات عامة </t>
  </si>
  <si>
    <t>نهاية الخدمة</t>
  </si>
  <si>
    <t>بدل سكن</t>
  </si>
  <si>
    <t>إيجارات</t>
  </si>
  <si>
    <t>اشتراكات</t>
  </si>
  <si>
    <t>استضافة مقر العربي</t>
  </si>
  <si>
    <t>استضافة مقر الآسيوي</t>
  </si>
  <si>
    <t>اجتماعات</t>
  </si>
  <si>
    <t>حكام</t>
  </si>
  <si>
    <t>مشاركات</t>
  </si>
  <si>
    <t>الإجمالي</t>
  </si>
  <si>
    <t>الوكالة الوطنية لمكافحة المنشطات</t>
  </si>
  <si>
    <t>لجنة رياضة النخبة والمستوى العالي</t>
  </si>
  <si>
    <t xml:space="preserve">اللجنة البارالمبية الوطنية </t>
  </si>
  <si>
    <t>اتحاد الإمارات لبيوت الشباب والرياضيين</t>
  </si>
  <si>
    <t>الاجمالي</t>
  </si>
  <si>
    <t>اسم النادي</t>
  </si>
  <si>
    <t>الدعم الإداري</t>
  </si>
  <si>
    <t>الإعانة السنوية</t>
  </si>
  <si>
    <t>نادي  دبا الفجيرة</t>
  </si>
  <si>
    <t>نادي الرمس</t>
  </si>
  <si>
    <t>نادي عجمان</t>
  </si>
  <si>
    <t>نادي التعاون</t>
  </si>
  <si>
    <t>نادي مصفوت</t>
  </si>
  <si>
    <t>نادي العربي</t>
  </si>
  <si>
    <t>نادي فلج المعلا</t>
  </si>
  <si>
    <t>نادي الفجيرة</t>
  </si>
  <si>
    <t>نادي العروبة</t>
  </si>
  <si>
    <t>نادي راس الخيمة</t>
  </si>
  <si>
    <t>نادي الجزيرة الحمراء</t>
  </si>
  <si>
    <t>نادي مسافي</t>
  </si>
  <si>
    <t xml:space="preserve">نادى الفجيرة للفنون القتالية </t>
  </si>
  <si>
    <t>نادي رأس الخيمة  للرياضات البحرية</t>
  </si>
  <si>
    <t>نادي عجمان للمعاقين</t>
  </si>
  <si>
    <t xml:space="preserve">نادى راس الخيمة للمعاقين </t>
  </si>
  <si>
    <t>الجهة</t>
  </si>
  <si>
    <t>الاتحادات</t>
  </si>
  <si>
    <t>الأندية الرياضية</t>
  </si>
  <si>
    <t>أندية لعبة الشطرنج</t>
  </si>
  <si>
    <t xml:space="preserve">مراكز تدريب </t>
  </si>
  <si>
    <t>مبلغ مقطوع</t>
  </si>
  <si>
    <t xml:space="preserve">مركز الإمارات لعلوم الرياضة والطب الرياضي </t>
  </si>
  <si>
    <t>دعم الألعاب</t>
  </si>
  <si>
    <t>الإعانة الشهرية</t>
  </si>
  <si>
    <t>اتحاد الإمارات لكرة القدم</t>
  </si>
  <si>
    <t>اتحاد الإمارات للكرة الطائرة</t>
  </si>
  <si>
    <t xml:space="preserve">اتحاد الإمارات لكرة اليد </t>
  </si>
  <si>
    <t>اتحاد الإمارات لكرة السلة</t>
  </si>
  <si>
    <t>اتحاد الإمارات للهوكي</t>
  </si>
  <si>
    <t xml:space="preserve">اتحاد الإمارات للرجبي  </t>
  </si>
  <si>
    <t>اتحاد الإمارات للرياضات الشتوية</t>
  </si>
  <si>
    <t>اتحاد الإمارات لكرة الطاولة</t>
  </si>
  <si>
    <t>اتحاد الإمارات للدراجات</t>
  </si>
  <si>
    <t>اتحاد الإمارات للسباحة</t>
  </si>
  <si>
    <t>اتحاد الإمارات البولينج</t>
  </si>
  <si>
    <t>اتحاد الإمارات للكاراتيه</t>
  </si>
  <si>
    <t xml:space="preserve">اتحاد الإمارات لرفع الاثقال </t>
  </si>
  <si>
    <t>اتحاد الإمارات للملاكمة</t>
  </si>
  <si>
    <t>اتحاد الإمارات للرياضات البحرية</t>
  </si>
  <si>
    <t>اتحاد الإمارات لبناء الأجسام واللياقة البدنية</t>
  </si>
  <si>
    <t>اتحاد الإمارات للتايكوندو</t>
  </si>
  <si>
    <t>اتحاد الإمارات للترياثلون</t>
  </si>
  <si>
    <t>اتحاد الإمارات للشراع والتجديف</t>
  </si>
  <si>
    <t>اتحاد الإمارات للفروسية</t>
  </si>
  <si>
    <t>اتحاد الإمارات للشطرنج</t>
  </si>
  <si>
    <t>اتحاد الإمارات للجولف</t>
  </si>
  <si>
    <t>اتحاد الإمارات للرياضة للجميع</t>
  </si>
  <si>
    <t>اتحاد الإمارات للرياضات الإلكترونية</t>
  </si>
  <si>
    <t xml:space="preserve">اتحاد الإمارات للرياضات الجوية </t>
  </si>
  <si>
    <t xml:space="preserve">اتحاد الإمارات للريشة الطائرة </t>
  </si>
  <si>
    <t xml:space="preserve">اتحاد الإمارات للخماسي الحديث </t>
  </si>
  <si>
    <t>اتحاد الإمارات للبولو</t>
  </si>
  <si>
    <t xml:space="preserve">اتحاد الإمارات للاسكواش </t>
  </si>
  <si>
    <t>اتحاد الإمارات للكريكت</t>
  </si>
  <si>
    <t xml:space="preserve">اتحاد الإمارات للصقور </t>
  </si>
  <si>
    <t>اتحاد الإمارات لألعاب القوى</t>
  </si>
  <si>
    <t xml:space="preserve">اتحاد الإمارات للرماية </t>
  </si>
  <si>
    <t xml:space="preserve">اتحاد الإمارات للقوس والسهم </t>
  </si>
  <si>
    <t>اتحاد الإمارات للمبارزة</t>
  </si>
  <si>
    <t xml:space="preserve">اللجنة الأولمبية الوطنية </t>
  </si>
  <si>
    <t>الأندية التخصصية</t>
  </si>
  <si>
    <t>الدعم السنوي</t>
  </si>
  <si>
    <t>الدعم  السنوي</t>
  </si>
  <si>
    <t xml:space="preserve">الاجمالى </t>
  </si>
  <si>
    <t xml:space="preserve">الأندية المتخصصة </t>
  </si>
  <si>
    <t>جوائز</t>
  </si>
  <si>
    <t xml:space="preserve">نادى الامارات </t>
  </si>
  <si>
    <r>
      <rPr>
        <b/>
        <sz val="16"/>
        <color theme="0"/>
        <rFont val="GE SS Unique Light"/>
        <family val="1"/>
        <charset val="178"/>
      </rPr>
      <t xml:space="preserve">الرياضات ذات الاولوية   </t>
    </r>
    <r>
      <rPr>
        <b/>
        <sz val="16"/>
        <color theme="0"/>
        <rFont val="Arial"/>
        <family val="2"/>
      </rPr>
      <t>2025</t>
    </r>
  </si>
  <si>
    <t xml:space="preserve">الإعانة  السنوية </t>
  </si>
  <si>
    <t>اتحاد الإمارات لالعاب البليارد</t>
  </si>
  <si>
    <t>اجمالي الميزانية لعام 2025</t>
  </si>
  <si>
    <t>نوع الجهه</t>
  </si>
  <si>
    <t>اولمبي</t>
  </si>
  <si>
    <t xml:space="preserve">غير اولمبي </t>
  </si>
  <si>
    <t xml:space="preserve">اتحاد الامارات لمؤسسات التعليم المدرسي والجامعي </t>
  </si>
  <si>
    <t xml:space="preserve"> اولمبي </t>
  </si>
  <si>
    <r>
      <rPr>
        <b/>
        <sz val="22"/>
        <color theme="0"/>
        <rFont val="GE SS Unique Light"/>
        <family val="1"/>
        <charset val="178"/>
      </rPr>
      <t xml:space="preserve">  الـــدعـــــم المــالـــــي للجهات الرياضية   </t>
    </r>
    <r>
      <rPr>
        <b/>
        <sz val="22"/>
        <color theme="0"/>
        <rFont val="MCS Taybah S_U normal."/>
      </rPr>
      <t xml:space="preserve">   2026</t>
    </r>
  </si>
  <si>
    <t xml:space="preserve">اتحاد الإمارات للتنس  </t>
  </si>
  <si>
    <r>
      <rPr>
        <b/>
        <sz val="16"/>
        <color theme="1"/>
        <rFont val="GE SS Unique Light"/>
        <family val="1"/>
        <charset val="178"/>
      </rPr>
      <t xml:space="preserve">الأنـــديـــة  الرياضيــــــــــــــة </t>
    </r>
    <r>
      <rPr>
        <b/>
        <sz val="16"/>
        <color theme="1"/>
        <rFont val="Arial"/>
        <family val="2"/>
      </rPr>
      <t xml:space="preserve"> 2026</t>
    </r>
  </si>
  <si>
    <r>
      <rPr>
        <b/>
        <sz val="16"/>
        <color theme="1"/>
        <rFont val="GE SS Unique Light"/>
        <family val="1"/>
        <charset val="178"/>
      </rPr>
      <t xml:space="preserve">الأندية المتخصصة </t>
    </r>
    <r>
      <rPr>
        <b/>
        <sz val="16"/>
        <color theme="1"/>
        <rFont val="Arial"/>
        <family val="2"/>
      </rPr>
      <t>2026</t>
    </r>
  </si>
  <si>
    <r>
      <rPr>
        <b/>
        <sz val="16"/>
        <color theme="1"/>
        <rFont val="GE SS Unique Light"/>
        <family val="1"/>
        <charset val="178"/>
      </rPr>
      <t>أندية لعبة الشطرنج</t>
    </r>
    <r>
      <rPr>
        <b/>
        <sz val="16"/>
        <color theme="1"/>
        <rFont val="Arial"/>
        <family val="2"/>
      </rPr>
      <t xml:space="preserve">  2026</t>
    </r>
  </si>
  <si>
    <r>
      <rPr>
        <b/>
        <sz val="12"/>
        <color theme="1"/>
        <rFont val="GE SS Unique Light"/>
        <family val="1"/>
        <charset val="178"/>
      </rPr>
      <t xml:space="preserve">اجمالي الربط المالي للجهات الرياضية </t>
    </r>
    <r>
      <rPr>
        <b/>
        <sz val="12"/>
        <color theme="1"/>
        <rFont val="Arial"/>
        <family val="2"/>
      </rPr>
      <t>2026</t>
    </r>
  </si>
  <si>
    <r>
      <rPr>
        <b/>
        <sz val="22"/>
        <color theme="1"/>
        <rFont val="GE SS Unique Light"/>
        <family val="1"/>
        <charset val="178"/>
      </rPr>
      <t xml:space="preserve">  الـــدعـــــم المــالـــــي للأندية الرياضية والتخصصية والشطرنجية   </t>
    </r>
    <r>
      <rPr>
        <b/>
        <sz val="22"/>
        <color theme="1"/>
        <rFont val="MCS Taybah S_U normal."/>
      </rPr>
      <t xml:space="preserve">  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</si>
</sst>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1"/>
      <color theme="1"/>
      <name val="Calibri"/>
      <family val="2"/>
      <scheme val="minor"/>
    </font>
    <font>
      <b/>
      <sz val="14"/>
      <color theme="0"/>
      <name val="GE SS Unique Light"/>
      <family val="1"/>
      <charset val="178"/>
    </font>
    <font>
      <b/>
      <sz val="11"/>
      <name val="Arial"/>
      <family val="2"/>
    </font>
    <font>
      <b/>
      <sz val="12"/>
      <color theme="0"/>
      <name val="Dubai"/>
      <family val="2"/>
    </font>
    <font>
      <b/>
      <sz val="12"/>
      <name val="Dubai"/>
      <family val="2"/>
    </font>
    <font>
      <b/>
      <sz val="14"/>
      <name val="Dubai"/>
      <family val="2"/>
    </font>
    <font>
      <b/>
      <sz val="14"/>
      <color theme="0"/>
      <name val="Dubai"/>
      <family val="2"/>
    </font>
    <font>
      <b/>
      <sz val="16"/>
      <color theme="0"/>
      <name val="Dubai"/>
      <family val="2"/>
    </font>
    <font>
      <sz val="14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4"/>
      <name val="Dubai"/>
      <family val="2"/>
    </font>
    <font>
      <b/>
      <sz val="22"/>
      <color theme="0"/>
      <name val="Dubai"/>
      <family val="2"/>
    </font>
    <font>
      <b/>
      <sz val="22"/>
      <color theme="0"/>
      <name val="GE SS Unique Light"/>
      <family val="1"/>
      <charset val="178"/>
    </font>
    <font>
      <b/>
      <sz val="22"/>
      <color theme="0"/>
      <name val="MCS Taybah S_U normal."/>
    </font>
    <font>
      <b/>
      <sz val="16"/>
      <color theme="0"/>
      <name val="GE SS Unique Light"/>
      <family val="1"/>
      <charset val="178"/>
    </font>
    <font>
      <b/>
      <sz val="16"/>
      <color theme="0"/>
      <name val="Arial"/>
      <family val="2"/>
    </font>
    <font>
      <sz val="14"/>
      <color theme="0"/>
      <name val="Dubai"/>
      <family val="2"/>
    </font>
    <font>
      <sz val="14"/>
      <color theme="4" tint="-0.249977111117893"/>
      <name val="Dubai"/>
      <family val="2"/>
    </font>
    <font>
      <b/>
      <sz val="12"/>
      <color rgb="FFFF0000"/>
      <name val="Dubai"/>
      <family val="2"/>
    </font>
    <font>
      <b/>
      <sz val="22"/>
      <color theme="1"/>
      <name val="Dubai"/>
      <family val="2"/>
    </font>
    <font>
      <b/>
      <sz val="22"/>
      <color theme="1"/>
      <name val="GE SS Unique Light"/>
      <family val="1"/>
      <charset val="178"/>
    </font>
    <font>
      <b/>
      <sz val="22"/>
      <color theme="1"/>
      <name val="MCS Taybah S_U normal."/>
    </font>
    <font>
      <b/>
      <sz val="16"/>
      <color theme="1"/>
      <name val="Dubai"/>
      <family val="2"/>
    </font>
    <font>
      <b/>
      <sz val="16"/>
      <color theme="1"/>
      <name val="GE SS Unique Light"/>
      <family val="1"/>
      <charset val="178"/>
    </font>
    <font>
      <b/>
      <sz val="16"/>
      <color theme="1"/>
      <name val="Arial"/>
      <family val="2"/>
    </font>
    <font>
      <b/>
      <sz val="16"/>
      <color theme="1"/>
      <name val="Dubai"/>
      <family val="1"/>
      <charset val="178"/>
    </font>
    <font>
      <b/>
      <sz val="12"/>
      <color theme="1"/>
      <name val="Dubai"/>
      <family val="2"/>
    </font>
    <font>
      <b/>
      <sz val="12"/>
      <color theme="1"/>
      <name val="GE SS Unique Light"/>
      <family val="1"/>
      <charset val="178"/>
    </font>
    <font>
      <b/>
      <sz val="12"/>
      <color theme="1"/>
      <name val="Arial"/>
      <family val="2"/>
    </font>
    <font>
      <b/>
      <sz val="14"/>
      <color rgb="FFFF0000"/>
      <name val="Dubai"/>
      <family val="2"/>
    </font>
    <font>
      <b/>
      <sz val="22"/>
      <color theme="0"/>
      <name val="Dubai"/>
      <family val="1"/>
      <charset val="178"/>
    </font>
    <font>
      <b/>
      <sz val="14"/>
      <color rgb="FFFF0000"/>
      <name val="Calibri"/>
      <family val="2"/>
      <scheme val="minor"/>
    </font>
    <font>
      <b/>
      <sz val="12"/>
      <color theme="1"/>
      <name val="Dubai"/>
      <family val="1"/>
      <charset val="178"/>
    </font>
    <font>
      <b/>
      <sz val="22"/>
      <color theme="1"/>
      <name val="Dubai"/>
      <family val="1"/>
      <charset val="178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</fills>
  <borders count="1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</borders>
  <cellStyleXfs count="3">
    <xf numFmtId="0" fontId="0" fillId="0" borderId="0"/>
    <xf numFmtId="0" fontId="9" fillId="0" borderId="0"/>
    <xf numFmtId="0" fontId="10" fillId="0" borderId="0"/>
  </cellStyleXfs>
  <cellXfs count="67">
    <xf numFmtId="0" fontId="0" fillId="0" borderId="0" xfId="0"/>
    <xf numFmtId="38" fontId="4" fillId="2" borderId="1" xfId="0" applyNumberFormat="1" applyFont="1" applyFill="1" applyBorder="1" applyAlignment="1">
      <alignment horizontal="center" vertical="center"/>
    </xf>
    <xf numFmtId="38" fontId="5" fillId="2" borderId="1" xfId="0" applyNumberFormat="1" applyFont="1" applyFill="1" applyBorder="1" applyAlignment="1">
      <alignment horizontal="center" vertical="center"/>
    </xf>
    <xf numFmtId="38" fontId="11" fillId="2" borderId="1" xfId="0" applyNumberFormat="1" applyFont="1" applyFill="1" applyBorder="1" applyAlignment="1">
      <alignment horizontal="center"/>
    </xf>
    <xf numFmtId="38" fontId="11" fillId="2" borderId="7" xfId="0" applyNumberFormat="1" applyFont="1" applyFill="1" applyBorder="1" applyAlignment="1">
      <alignment horizontal="center"/>
    </xf>
    <xf numFmtId="38" fontId="5" fillId="3" borderId="8" xfId="0" applyNumberFormat="1" applyFont="1" applyFill="1" applyBorder="1" applyAlignment="1">
      <alignment horizontal="center"/>
    </xf>
    <xf numFmtId="3" fontId="2" fillId="4" borderId="2" xfId="0" applyNumberFormat="1" applyFont="1" applyFill="1" applyBorder="1" applyAlignment="1">
      <alignment horizontal="center"/>
    </xf>
    <xf numFmtId="3" fontId="11" fillId="4" borderId="3" xfId="0" applyNumberFormat="1" applyFont="1" applyFill="1" applyBorder="1" applyAlignment="1">
      <alignment horizontal="center"/>
    </xf>
    <xf numFmtId="38" fontId="3" fillId="4" borderId="1" xfId="0" applyNumberFormat="1" applyFont="1" applyFill="1" applyBorder="1" applyAlignment="1">
      <alignment horizontal="center" vertical="center"/>
    </xf>
    <xf numFmtId="38" fontId="4" fillId="2" borderId="13" xfId="0" applyNumberFormat="1" applyFont="1" applyFill="1" applyBorder="1" applyAlignment="1">
      <alignment horizontal="center" vertical="center"/>
    </xf>
    <xf numFmtId="38" fontId="4" fillId="4" borderId="1" xfId="0" applyNumberFormat="1" applyFont="1" applyFill="1" applyBorder="1" applyAlignment="1">
      <alignment horizontal="center" vertical="center"/>
    </xf>
    <xf numFmtId="38" fontId="4" fillId="4" borderId="7" xfId="0" applyNumberFormat="1" applyFont="1" applyFill="1" applyBorder="1" applyAlignment="1">
      <alignment horizontal="center" vertical="center"/>
    </xf>
    <xf numFmtId="38" fontId="6" fillId="5" borderId="1" xfId="0" applyNumberFormat="1" applyFont="1" applyFill="1" applyBorder="1" applyAlignment="1">
      <alignment horizontal="center" vertical="center"/>
    </xf>
    <xf numFmtId="38" fontId="18" fillId="2" borderId="1" xfId="0" applyNumberFormat="1" applyFont="1" applyFill="1" applyBorder="1" applyAlignment="1">
      <alignment horizontal="center"/>
    </xf>
    <xf numFmtId="38" fontId="6" fillId="5" borderId="0" xfId="0" applyNumberFormat="1" applyFont="1" applyFill="1" applyAlignment="1">
      <alignment horizontal="center" vertical="center"/>
    </xf>
    <xf numFmtId="3" fontId="17" fillId="5" borderId="0" xfId="0" applyNumberFormat="1" applyFont="1" applyFill="1" applyAlignment="1">
      <alignment horizontal="center"/>
    </xf>
    <xf numFmtId="38" fontId="0" fillId="0" borderId="0" xfId="0" applyNumberFormat="1"/>
    <xf numFmtId="0" fontId="0" fillId="6" borderId="0" xfId="0" applyFill="1"/>
    <xf numFmtId="38" fontId="6" fillId="6" borderId="1" xfId="0" applyNumberFormat="1" applyFont="1" applyFill="1" applyBorder="1" applyAlignment="1">
      <alignment horizontal="center" vertical="center"/>
    </xf>
    <xf numFmtId="38" fontId="6" fillId="6" borderId="1" xfId="0" applyNumberFormat="1" applyFont="1" applyFill="1" applyBorder="1" applyAlignment="1">
      <alignment horizontal="center" vertical="center" wrapText="1"/>
    </xf>
    <xf numFmtId="3" fontId="2" fillId="6" borderId="2" xfId="0" applyNumberFormat="1" applyFont="1" applyFill="1" applyBorder="1" applyAlignment="1">
      <alignment horizontal="center"/>
    </xf>
    <xf numFmtId="3" fontId="11" fillId="6" borderId="3" xfId="0" applyNumberFormat="1" applyFont="1" applyFill="1" applyBorder="1" applyAlignment="1">
      <alignment horizontal="center"/>
    </xf>
    <xf numFmtId="38" fontId="1" fillId="5" borderId="17" xfId="0" applyNumberFormat="1" applyFont="1" applyFill="1" applyBorder="1" applyAlignment="1">
      <alignment horizontal="center" vertical="center"/>
    </xf>
    <xf numFmtId="38" fontId="1" fillId="5" borderId="0" xfId="0" applyNumberFormat="1" applyFont="1" applyFill="1" applyAlignment="1">
      <alignment horizontal="center" vertical="center"/>
    </xf>
    <xf numFmtId="38" fontId="5" fillId="2" borderId="0" xfId="0" applyNumberFormat="1" applyFont="1" applyFill="1" applyAlignment="1">
      <alignment horizontal="center" vertical="center"/>
    </xf>
    <xf numFmtId="38" fontId="3" fillId="6" borderId="1" xfId="0" applyNumberFormat="1" applyFont="1" applyFill="1" applyBorder="1" applyAlignment="1">
      <alignment horizontal="center" vertical="center"/>
    </xf>
    <xf numFmtId="38" fontId="5" fillId="7" borderId="1" xfId="0" applyNumberFormat="1" applyFont="1" applyFill="1" applyBorder="1" applyAlignment="1">
      <alignment horizontal="center" vertical="center"/>
    </xf>
    <xf numFmtId="38" fontId="30" fillId="2" borderId="1" xfId="0" applyNumberFormat="1" applyFont="1" applyFill="1" applyBorder="1" applyAlignment="1">
      <alignment horizontal="center" vertical="center"/>
    </xf>
    <xf numFmtId="38" fontId="5" fillId="8" borderId="1" xfId="0" applyNumberFormat="1" applyFont="1" applyFill="1" applyBorder="1" applyAlignment="1">
      <alignment horizontal="center" vertical="center"/>
    </xf>
    <xf numFmtId="38" fontId="30" fillId="8" borderId="1" xfId="0" applyNumberFormat="1" applyFont="1" applyFill="1" applyBorder="1" applyAlignment="1">
      <alignment horizontal="center" vertical="center"/>
    </xf>
    <xf numFmtId="0" fontId="8" fillId="8" borderId="0" xfId="0" applyFont="1" applyFill="1"/>
    <xf numFmtId="38" fontId="19" fillId="2" borderId="7" xfId="0" applyNumberFormat="1" applyFont="1" applyFill="1" applyBorder="1" applyAlignment="1">
      <alignment horizontal="center" vertical="center"/>
    </xf>
    <xf numFmtId="38" fontId="19" fillId="2" borderId="1" xfId="0" applyNumberFormat="1" applyFont="1" applyFill="1" applyBorder="1" applyAlignment="1">
      <alignment horizontal="center" vertical="center"/>
    </xf>
    <xf numFmtId="38" fontId="32" fillId="0" borderId="0" xfId="0" applyNumberFormat="1" applyFont="1" applyAlignment="1">
      <alignment horizontal="center"/>
    </xf>
    <xf numFmtId="38" fontId="4" fillId="9" borderId="1" xfId="0" applyNumberFormat="1" applyFont="1" applyFill="1" applyBorder="1" applyAlignment="1">
      <alignment horizontal="center" vertical="center"/>
    </xf>
    <xf numFmtId="38" fontId="4" fillId="10" borderId="1" xfId="0" applyNumberFormat="1" applyFont="1" applyFill="1" applyBorder="1" applyAlignment="1">
      <alignment horizontal="center" vertical="center"/>
    </xf>
    <xf numFmtId="38" fontId="3" fillId="11" borderId="1" xfId="0" applyNumberFormat="1" applyFont="1" applyFill="1" applyBorder="1" applyAlignment="1">
      <alignment horizontal="center" vertical="center"/>
    </xf>
    <xf numFmtId="3" fontId="2" fillId="11" borderId="2" xfId="0" applyNumberFormat="1" applyFont="1" applyFill="1" applyBorder="1" applyAlignment="1">
      <alignment horizontal="center"/>
    </xf>
    <xf numFmtId="3" fontId="11" fillId="11" borderId="3" xfId="0" applyNumberFormat="1" applyFont="1" applyFill="1" applyBorder="1" applyAlignment="1">
      <alignment horizontal="center"/>
    </xf>
    <xf numFmtId="3" fontId="17" fillId="11" borderId="3" xfId="0" applyNumberFormat="1" applyFont="1" applyFill="1" applyBorder="1" applyAlignment="1">
      <alignment horizontal="center"/>
    </xf>
    <xf numFmtId="38" fontId="1" fillId="5" borderId="4" xfId="0" applyNumberFormat="1" applyFont="1" applyFill="1" applyBorder="1" applyAlignment="1">
      <alignment horizontal="center" vertical="center"/>
    </xf>
    <xf numFmtId="38" fontId="1" fillId="5" borderId="5" xfId="0" applyNumberFormat="1" applyFont="1" applyFill="1" applyBorder="1" applyAlignment="1">
      <alignment horizontal="center" vertical="center"/>
    </xf>
    <xf numFmtId="38" fontId="31" fillId="6" borderId="7" xfId="0" applyNumberFormat="1" applyFont="1" applyFill="1" applyBorder="1" applyAlignment="1">
      <alignment horizontal="center" vertical="center" wrapText="1"/>
    </xf>
    <xf numFmtId="38" fontId="12" fillId="6" borderId="9" xfId="0" applyNumberFormat="1" applyFont="1" applyFill="1" applyBorder="1" applyAlignment="1">
      <alignment horizontal="center" vertical="center" wrapText="1"/>
    </xf>
    <xf numFmtId="38" fontId="12" fillId="6" borderId="10" xfId="0" applyNumberFormat="1" applyFont="1" applyFill="1" applyBorder="1" applyAlignment="1">
      <alignment horizontal="center" vertical="center" wrapText="1"/>
    </xf>
    <xf numFmtId="38" fontId="26" fillId="6" borderId="11" xfId="0" applyNumberFormat="1" applyFont="1" applyFill="1" applyBorder="1" applyAlignment="1">
      <alignment horizontal="center" vertical="center"/>
    </xf>
    <xf numFmtId="38" fontId="23" fillId="6" borderId="6" xfId="0" applyNumberFormat="1" applyFont="1" applyFill="1" applyBorder="1" applyAlignment="1">
      <alignment horizontal="center" vertical="center"/>
    </xf>
    <xf numFmtId="38" fontId="33" fillId="6" borderId="7" xfId="0" applyNumberFormat="1" applyFont="1" applyFill="1" applyBorder="1" applyAlignment="1">
      <alignment horizontal="center" vertical="center"/>
    </xf>
    <xf numFmtId="38" fontId="27" fillId="6" borderId="9" xfId="0" applyNumberFormat="1" applyFont="1" applyFill="1" applyBorder="1" applyAlignment="1">
      <alignment horizontal="center" vertical="center"/>
    </xf>
    <xf numFmtId="38" fontId="27" fillId="6" borderId="10" xfId="0" applyNumberFormat="1" applyFont="1" applyFill="1" applyBorder="1" applyAlignment="1">
      <alignment horizontal="center" vertical="center"/>
    </xf>
    <xf numFmtId="38" fontId="26" fillId="6" borderId="7" xfId="0" applyNumberFormat="1" applyFont="1" applyFill="1" applyBorder="1" applyAlignment="1">
      <alignment horizontal="center" vertical="center"/>
    </xf>
    <xf numFmtId="38" fontId="23" fillId="6" borderId="9" xfId="0" applyNumberFormat="1" applyFont="1" applyFill="1" applyBorder="1" applyAlignment="1">
      <alignment horizontal="center" vertical="center"/>
    </xf>
    <xf numFmtId="38" fontId="23" fillId="6" borderId="10" xfId="0" applyNumberFormat="1" applyFont="1" applyFill="1" applyBorder="1" applyAlignment="1">
      <alignment horizontal="center" vertical="center"/>
    </xf>
    <xf numFmtId="38" fontId="34" fillId="6" borderId="7" xfId="0" applyNumberFormat="1" applyFont="1" applyFill="1" applyBorder="1" applyAlignment="1">
      <alignment horizontal="center" vertical="center" wrapText="1"/>
    </xf>
    <xf numFmtId="38" fontId="20" fillId="6" borderId="9" xfId="0" applyNumberFormat="1" applyFont="1" applyFill="1" applyBorder="1" applyAlignment="1">
      <alignment horizontal="center" vertical="center" wrapText="1"/>
    </xf>
    <xf numFmtId="38" fontId="20" fillId="6" borderId="10" xfId="0" applyNumberFormat="1" applyFont="1" applyFill="1" applyBorder="1" applyAlignment="1">
      <alignment horizontal="center" vertical="center" wrapText="1"/>
    </xf>
    <xf numFmtId="38" fontId="6" fillId="6" borderId="7" xfId="0" applyNumberFormat="1" applyFont="1" applyFill="1" applyBorder="1" applyAlignment="1">
      <alignment horizontal="center" vertical="center"/>
    </xf>
    <xf numFmtId="38" fontId="6" fillId="6" borderId="10" xfId="0" applyNumberFormat="1" applyFont="1" applyFill="1" applyBorder="1" applyAlignment="1">
      <alignment horizontal="center" vertical="center"/>
    </xf>
    <xf numFmtId="3" fontId="4" fillId="3" borderId="14" xfId="0" applyNumberFormat="1" applyFont="1" applyFill="1" applyBorder="1" applyAlignment="1">
      <alignment horizontal="center"/>
    </xf>
    <xf numFmtId="38" fontId="4" fillId="4" borderId="7" xfId="0" applyNumberFormat="1" applyFont="1" applyFill="1" applyBorder="1" applyAlignment="1">
      <alignment horizontal="center" vertical="center"/>
    </xf>
    <xf numFmtId="38" fontId="4" fillId="4" borderId="10" xfId="0" applyNumberFormat="1" applyFont="1" applyFill="1" applyBorder="1" applyAlignment="1">
      <alignment horizontal="center" vertical="center"/>
    </xf>
    <xf numFmtId="38" fontId="7" fillId="4" borderId="11" xfId="0" applyNumberFormat="1" applyFont="1" applyFill="1" applyBorder="1" applyAlignment="1">
      <alignment horizontal="center" vertical="center"/>
    </xf>
    <xf numFmtId="38" fontId="7" fillId="4" borderId="6" xfId="0" applyNumberFormat="1" applyFont="1" applyFill="1" applyBorder="1" applyAlignment="1">
      <alignment horizontal="center" vertical="center"/>
    </xf>
    <xf numFmtId="38" fontId="3" fillId="4" borderId="15" xfId="0" applyNumberFormat="1" applyFont="1" applyFill="1" applyBorder="1" applyAlignment="1">
      <alignment horizontal="center" vertical="center"/>
    </xf>
    <xf numFmtId="38" fontId="3" fillId="4" borderId="16" xfId="0" applyNumberFormat="1" applyFont="1" applyFill="1" applyBorder="1" applyAlignment="1">
      <alignment horizontal="center" vertical="center"/>
    </xf>
    <xf numFmtId="3" fontId="11" fillId="4" borderId="7" xfId="0" applyNumberFormat="1" applyFont="1" applyFill="1" applyBorder="1" applyAlignment="1">
      <alignment horizontal="center"/>
    </xf>
    <xf numFmtId="3" fontId="11" fillId="4" borderId="12" xfId="0" applyNumberFormat="1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colors>
    <mruColors>
      <color rgb="FFA216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5"/>
  <sheetViews>
    <sheetView rightToLeft="1" tabSelected="1" view="pageBreakPreview" topLeftCell="O1" zoomScale="70" zoomScaleNormal="70" zoomScaleSheetLayoutView="70" workbookViewId="0">
      <selection activeCell="D39" sqref="D39"/>
    </sheetView>
  </sheetViews>
  <sheetFormatPr defaultRowHeight="15"/>
  <cols>
    <col min="1" max="1" width="9.85546875" customWidth="1"/>
    <col min="2" max="2" width="49.7109375" customWidth="1"/>
    <col min="3" max="3" width="13.140625" customWidth="1"/>
    <col min="4" max="14" width="16.7109375" customWidth="1"/>
    <col min="15" max="15" width="13.140625" bestFit="1" customWidth="1"/>
    <col min="16" max="17" width="16.7109375" customWidth="1"/>
    <col min="18" max="18" width="19.28515625" bestFit="1" customWidth="1"/>
    <col min="19" max="19" width="11.28515625" hidden="1" customWidth="1"/>
    <col min="20" max="20" width="6" customWidth="1"/>
    <col min="21" max="21" width="24.28515625" customWidth="1"/>
    <col min="22" max="22" width="33" customWidth="1"/>
    <col min="23" max="25" width="17.7109375" customWidth="1"/>
    <col min="26" max="26" width="7.7109375" customWidth="1"/>
    <col min="27" max="27" width="4.5703125" customWidth="1"/>
    <col min="28" max="28" width="31.7109375" bestFit="1" customWidth="1"/>
    <col min="29" max="29" width="13.28515625" bestFit="1" customWidth="1"/>
    <col min="30" max="30" width="12.85546875" bestFit="1" customWidth="1"/>
    <col min="31" max="31" width="7.7109375" customWidth="1"/>
    <col min="32" max="32" width="5" customWidth="1"/>
    <col min="33" max="33" width="31.28515625" customWidth="1"/>
    <col min="34" max="34" width="15.5703125" customWidth="1"/>
    <col min="35" max="35" width="13.85546875" customWidth="1"/>
    <col min="36" max="36" width="9.140625" customWidth="1"/>
    <col min="38" max="38" width="19.5703125" customWidth="1"/>
    <col min="39" max="39" width="17.7109375" customWidth="1"/>
  </cols>
  <sheetData>
    <row r="1" spans="1:39" ht="42.6" customHeight="1">
      <c r="A1" s="42" t="s">
        <v>99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4"/>
      <c r="S1" s="17"/>
      <c r="T1" s="53" t="s">
        <v>105</v>
      </c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5"/>
    </row>
    <row r="2" spans="1:39" ht="54" customHeight="1" thickBot="1">
      <c r="A2" s="18" t="s">
        <v>0</v>
      </c>
      <c r="B2" s="18" t="s">
        <v>1</v>
      </c>
      <c r="C2" s="18" t="s">
        <v>94</v>
      </c>
      <c r="D2" s="18" t="s">
        <v>43</v>
      </c>
      <c r="E2" s="19" t="s">
        <v>2</v>
      </c>
      <c r="F2" s="19" t="s">
        <v>3</v>
      </c>
      <c r="G2" s="19" t="s">
        <v>4</v>
      </c>
      <c r="H2" s="19" t="s">
        <v>5</v>
      </c>
      <c r="I2" s="19" t="s">
        <v>6</v>
      </c>
      <c r="J2" s="19" t="s">
        <v>88</v>
      </c>
      <c r="K2" s="19" t="s">
        <v>7</v>
      </c>
      <c r="L2" s="19" t="s">
        <v>8</v>
      </c>
      <c r="M2" s="19" t="s">
        <v>9</v>
      </c>
      <c r="N2" s="19" t="s">
        <v>10</v>
      </c>
      <c r="O2" s="19" t="s">
        <v>42</v>
      </c>
      <c r="P2" s="19" t="s">
        <v>11</v>
      </c>
      <c r="Q2" s="19" t="s">
        <v>12</v>
      </c>
      <c r="R2" s="18" t="s">
        <v>13</v>
      </c>
      <c r="S2" s="17"/>
      <c r="T2" s="45" t="s">
        <v>101</v>
      </c>
      <c r="U2" s="46"/>
      <c r="V2" s="46"/>
      <c r="W2" s="46"/>
      <c r="X2" s="46"/>
      <c r="Y2" s="46"/>
      <c r="Z2" s="17"/>
      <c r="AA2" s="45" t="s">
        <v>102</v>
      </c>
      <c r="AB2" s="46"/>
      <c r="AC2" s="46"/>
      <c r="AD2" s="46"/>
      <c r="AE2" s="17"/>
      <c r="AF2" s="50" t="s">
        <v>103</v>
      </c>
      <c r="AG2" s="51"/>
      <c r="AH2" s="51"/>
      <c r="AI2" s="52"/>
      <c r="AJ2" s="17"/>
      <c r="AK2" s="47" t="s">
        <v>104</v>
      </c>
      <c r="AL2" s="48"/>
      <c r="AM2" s="49"/>
    </row>
    <row r="3" spans="1:39" ht="25.15" customHeight="1">
      <c r="A3" s="20">
        <v>1</v>
      </c>
      <c r="B3" s="1" t="s">
        <v>47</v>
      </c>
      <c r="C3" s="34" t="s">
        <v>95</v>
      </c>
      <c r="D3" s="27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1"/>
      <c r="T3" s="25" t="s">
        <v>0</v>
      </c>
      <c r="U3" s="25" t="s">
        <v>19</v>
      </c>
      <c r="V3" s="25" t="s">
        <v>20</v>
      </c>
      <c r="W3" s="25" t="s">
        <v>45</v>
      </c>
      <c r="X3" s="25" t="s">
        <v>46</v>
      </c>
      <c r="Y3" s="25" t="s">
        <v>21</v>
      </c>
      <c r="AA3" s="36" t="s">
        <v>0</v>
      </c>
      <c r="AB3" s="36" t="s">
        <v>83</v>
      </c>
      <c r="AC3" s="36" t="s">
        <v>46</v>
      </c>
      <c r="AD3" s="36" t="s">
        <v>84</v>
      </c>
      <c r="AF3" s="36" t="s">
        <v>0</v>
      </c>
      <c r="AG3" s="36" t="s">
        <v>41</v>
      </c>
      <c r="AH3" s="36" t="s">
        <v>46</v>
      </c>
      <c r="AI3" s="36" t="s">
        <v>84</v>
      </c>
      <c r="AK3" s="8" t="s">
        <v>0</v>
      </c>
      <c r="AL3" s="8" t="s">
        <v>38</v>
      </c>
      <c r="AM3" s="8" t="s">
        <v>85</v>
      </c>
    </row>
    <row r="4" spans="1:39" ht="25.15" customHeight="1">
      <c r="A4" s="20">
        <v>2</v>
      </c>
      <c r="B4" s="1" t="s">
        <v>48</v>
      </c>
      <c r="C4" s="34" t="s">
        <v>95</v>
      </c>
      <c r="D4" s="30"/>
      <c r="E4" s="2"/>
      <c r="F4" s="27"/>
      <c r="G4" s="27"/>
      <c r="H4" s="27"/>
      <c r="I4" s="28"/>
      <c r="J4" s="27"/>
      <c r="K4" s="2"/>
      <c r="L4" s="28"/>
      <c r="M4" s="28"/>
      <c r="N4" s="27"/>
      <c r="O4" s="26"/>
      <c r="P4" s="27"/>
      <c r="Q4" s="27"/>
      <c r="R4" s="21"/>
      <c r="T4" s="20">
        <v>1</v>
      </c>
      <c r="U4" s="1" t="s">
        <v>24</v>
      </c>
      <c r="V4" s="3"/>
      <c r="W4" s="13"/>
      <c r="X4" s="4"/>
      <c r="Y4" s="21">
        <f t="shared" ref="Y4:Y12" si="0">(W4+V4)*12</f>
        <v>0</v>
      </c>
      <c r="AA4" s="37">
        <v>1</v>
      </c>
      <c r="AB4" s="1" t="s">
        <v>35</v>
      </c>
      <c r="AC4" s="31"/>
      <c r="AD4" s="38"/>
      <c r="AF4" s="37">
        <v>1</v>
      </c>
      <c r="AG4" s="1"/>
      <c r="AH4" s="32"/>
      <c r="AI4" s="38"/>
      <c r="AK4" s="6">
        <v>1</v>
      </c>
      <c r="AL4" s="1" t="s">
        <v>39</v>
      </c>
      <c r="AM4" s="7">
        <f>R36+R45</f>
        <v>0</v>
      </c>
    </row>
    <row r="5" spans="1:39" ht="25.15" customHeight="1">
      <c r="A5" s="20">
        <v>3</v>
      </c>
      <c r="B5" s="1" t="s">
        <v>49</v>
      </c>
      <c r="C5" s="34" t="s">
        <v>95</v>
      </c>
      <c r="D5" s="28"/>
      <c r="E5" s="2"/>
      <c r="F5" s="27"/>
      <c r="G5" s="27"/>
      <c r="H5" s="27"/>
      <c r="I5" s="28"/>
      <c r="J5" s="27"/>
      <c r="K5" s="27"/>
      <c r="L5" s="28"/>
      <c r="M5" s="28"/>
      <c r="N5" s="27"/>
      <c r="O5" s="26"/>
      <c r="P5" s="27"/>
      <c r="Q5" s="27"/>
      <c r="R5" s="21"/>
      <c r="T5" s="20">
        <v>2</v>
      </c>
      <c r="U5" s="1" t="s">
        <v>26</v>
      </c>
      <c r="V5" s="3"/>
      <c r="W5" s="13"/>
      <c r="X5" s="4"/>
      <c r="Y5" s="21">
        <f t="shared" si="0"/>
        <v>0</v>
      </c>
      <c r="AA5" s="37">
        <v>2</v>
      </c>
      <c r="AB5" s="1" t="s">
        <v>36</v>
      </c>
      <c r="AC5" s="31"/>
      <c r="AD5" s="38"/>
      <c r="AF5" s="37">
        <v>2</v>
      </c>
      <c r="AG5" s="1"/>
      <c r="AH5" s="31"/>
      <c r="AI5" s="38"/>
      <c r="AK5" s="6">
        <v>2</v>
      </c>
      <c r="AL5" s="1" t="s">
        <v>40</v>
      </c>
      <c r="AM5" s="7">
        <f>Y18</f>
        <v>0</v>
      </c>
    </row>
    <row r="6" spans="1:39" ht="25.15" customHeight="1">
      <c r="A6" s="20">
        <v>4</v>
      </c>
      <c r="B6" s="1" t="s">
        <v>50</v>
      </c>
      <c r="C6" s="34" t="s">
        <v>95</v>
      </c>
      <c r="D6" s="28"/>
      <c r="E6" s="2"/>
      <c r="F6" s="27"/>
      <c r="G6" s="27"/>
      <c r="H6" s="27"/>
      <c r="I6" s="28"/>
      <c r="J6" s="27"/>
      <c r="K6" s="2"/>
      <c r="L6" s="28"/>
      <c r="M6" s="28"/>
      <c r="N6" s="27"/>
      <c r="O6" s="26"/>
      <c r="P6" s="27"/>
      <c r="Q6" s="27"/>
      <c r="R6" s="21"/>
      <c r="T6" s="20">
        <v>3</v>
      </c>
      <c r="U6" s="1" t="s">
        <v>23</v>
      </c>
      <c r="V6" s="3"/>
      <c r="W6" s="13"/>
      <c r="X6" s="4"/>
      <c r="Y6" s="21">
        <f t="shared" si="0"/>
        <v>0</v>
      </c>
      <c r="AA6" s="37">
        <v>3</v>
      </c>
      <c r="AB6" s="1" t="s">
        <v>37</v>
      </c>
      <c r="AC6" s="31"/>
      <c r="AD6" s="38"/>
      <c r="AF6" s="37">
        <v>3</v>
      </c>
      <c r="AG6" s="1"/>
      <c r="AH6" s="31"/>
      <c r="AI6" s="38"/>
      <c r="AK6" s="6">
        <v>3</v>
      </c>
      <c r="AL6" s="1" t="s">
        <v>87</v>
      </c>
      <c r="AM6" s="7">
        <f>AD7</f>
        <v>0</v>
      </c>
    </row>
    <row r="7" spans="1:39" ht="25.15" customHeight="1">
      <c r="A7" s="20">
        <v>5</v>
      </c>
      <c r="B7" s="1" t="s">
        <v>51</v>
      </c>
      <c r="C7" s="34" t="s">
        <v>95</v>
      </c>
      <c r="D7" s="28"/>
      <c r="E7" s="2"/>
      <c r="F7" s="27"/>
      <c r="G7" s="27"/>
      <c r="H7" s="26"/>
      <c r="I7" s="28"/>
      <c r="J7" s="27"/>
      <c r="K7" s="2"/>
      <c r="L7" s="28"/>
      <c r="M7" s="28"/>
      <c r="N7" s="27"/>
      <c r="O7" s="26"/>
      <c r="P7" s="28"/>
      <c r="Q7" s="28"/>
      <c r="R7" s="21"/>
      <c r="S7" s="2">
        <v>100000</v>
      </c>
      <c r="T7" s="20">
        <v>4</v>
      </c>
      <c r="U7" s="1" t="s">
        <v>31</v>
      </c>
      <c r="V7" s="3"/>
      <c r="W7" s="13"/>
      <c r="X7" s="4"/>
      <c r="Y7" s="21">
        <f t="shared" si="0"/>
        <v>0</v>
      </c>
      <c r="AA7" s="37"/>
      <c r="AB7" s="10" t="s">
        <v>86</v>
      </c>
      <c r="AC7" s="11">
        <f>SUM(AC4:AC6)</f>
        <v>0</v>
      </c>
      <c r="AD7" s="39">
        <f>SUM(AD4:AD6)</f>
        <v>0</v>
      </c>
      <c r="AF7" s="10"/>
      <c r="AG7" s="10" t="s">
        <v>86</v>
      </c>
      <c r="AH7" s="10">
        <f>SUM(AH4:AH6)</f>
        <v>0</v>
      </c>
      <c r="AI7" s="36">
        <f>SUM(AI4:AI6)</f>
        <v>0</v>
      </c>
      <c r="AK7" s="6">
        <v>4</v>
      </c>
      <c r="AL7" s="1" t="s">
        <v>41</v>
      </c>
      <c r="AM7" s="7"/>
    </row>
    <row r="8" spans="1:39" ht="25.15" customHeight="1">
      <c r="A8" s="20">
        <v>6</v>
      </c>
      <c r="B8" s="1" t="s">
        <v>52</v>
      </c>
      <c r="C8" s="34" t="s">
        <v>95</v>
      </c>
      <c r="D8" s="2"/>
      <c r="E8" s="28"/>
      <c r="F8" s="28"/>
      <c r="G8" s="29"/>
      <c r="H8" s="26"/>
      <c r="I8" s="28"/>
      <c r="J8" s="28"/>
      <c r="K8" s="2"/>
      <c r="L8" s="2"/>
      <c r="M8" s="2"/>
      <c r="N8" s="27"/>
      <c r="O8" s="26"/>
      <c r="P8" s="28"/>
      <c r="Q8" s="27"/>
      <c r="R8" s="21"/>
      <c r="S8" s="2">
        <v>200000</v>
      </c>
      <c r="T8" s="20">
        <v>5</v>
      </c>
      <c r="U8" s="1" t="s">
        <v>25</v>
      </c>
      <c r="V8" s="3"/>
      <c r="W8" s="13"/>
      <c r="X8" s="4"/>
      <c r="Y8" s="21">
        <f t="shared" si="0"/>
        <v>0</v>
      </c>
      <c r="AK8" s="59" t="s">
        <v>13</v>
      </c>
      <c r="AL8" s="60"/>
      <c r="AM8" s="8">
        <f>SUM(AM4:AM7)</f>
        <v>0</v>
      </c>
    </row>
    <row r="9" spans="1:39" ht="25.15" customHeight="1" thickBot="1">
      <c r="A9" s="20">
        <v>7</v>
      </c>
      <c r="B9" s="1" t="s">
        <v>53</v>
      </c>
      <c r="C9" s="34" t="s">
        <v>95</v>
      </c>
      <c r="D9" s="2"/>
      <c r="E9" s="28"/>
      <c r="F9" s="27"/>
      <c r="G9" s="29"/>
      <c r="H9" s="26"/>
      <c r="I9" s="27"/>
      <c r="J9" s="28"/>
      <c r="K9" s="2"/>
      <c r="L9" s="28"/>
      <c r="M9" s="28"/>
      <c r="N9" s="27"/>
      <c r="O9" s="26"/>
      <c r="P9" s="28"/>
      <c r="Q9" s="27"/>
      <c r="R9" s="21"/>
      <c r="S9" s="2">
        <v>100000</v>
      </c>
      <c r="T9" s="20">
        <v>6</v>
      </c>
      <c r="U9" s="1" t="s">
        <v>32</v>
      </c>
      <c r="V9" s="3"/>
      <c r="W9" s="13"/>
      <c r="X9" s="4"/>
      <c r="Y9" s="21">
        <f t="shared" si="0"/>
        <v>0</v>
      </c>
      <c r="AA9" s="61" t="s">
        <v>90</v>
      </c>
      <c r="AB9" s="62"/>
      <c r="AC9" s="62"/>
      <c r="AD9" s="62"/>
    </row>
    <row r="10" spans="1:39" ht="25.15" customHeight="1" thickBot="1">
      <c r="A10" s="20">
        <v>8</v>
      </c>
      <c r="B10" s="1" t="s">
        <v>54</v>
      </c>
      <c r="C10" s="34" t="s">
        <v>95</v>
      </c>
      <c r="D10" s="28"/>
      <c r="E10" s="2"/>
      <c r="F10" s="27"/>
      <c r="G10" s="27"/>
      <c r="H10" s="27"/>
      <c r="I10" s="28"/>
      <c r="J10" s="27"/>
      <c r="K10" s="2"/>
      <c r="L10" s="28"/>
      <c r="M10" s="28"/>
      <c r="N10" s="27"/>
      <c r="O10" s="26"/>
      <c r="P10" s="27"/>
      <c r="Q10" s="27"/>
      <c r="R10" s="21"/>
      <c r="S10" s="2">
        <v>100000</v>
      </c>
      <c r="T10" s="20">
        <v>7</v>
      </c>
      <c r="U10" s="1" t="s">
        <v>33</v>
      </c>
      <c r="V10" s="3"/>
      <c r="W10" s="13"/>
      <c r="X10" s="4"/>
      <c r="Y10" s="21">
        <f t="shared" si="0"/>
        <v>0</v>
      </c>
      <c r="AA10" s="8" t="s">
        <v>0</v>
      </c>
      <c r="AB10" s="8" t="s">
        <v>83</v>
      </c>
      <c r="AC10" s="63" t="s">
        <v>91</v>
      </c>
      <c r="AD10" s="64"/>
      <c r="AK10" s="58" t="s">
        <v>93</v>
      </c>
      <c r="AL10" s="58"/>
      <c r="AM10" s="5"/>
    </row>
    <row r="11" spans="1:39" ht="25.15" customHeight="1">
      <c r="A11" s="20">
        <v>9</v>
      </c>
      <c r="B11" s="1" t="s">
        <v>55</v>
      </c>
      <c r="C11" s="34" t="s">
        <v>95</v>
      </c>
      <c r="D11" s="28"/>
      <c r="E11" s="2"/>
      <c r="F11" s="27"/>
      <c r="G11" s="27"/>
      <c r="H11" s="27"/>
      <c r="I11" s="27"/>
      <c r="J11" s="27"/>
      <c r="K11" s="2"/>
      <c r="L11" s="2"/>
      <c r="M11" s="2"/>
      <c r="N11" s="27"/>
      <c r="O11" s="26"/>
      <c r="P11" s="27"/>
      <c r="Q11" s="27"/>
      <c r="R11" s="21"/>
      <c r="T11" s="20">
        <v>8</v>
      </c>
      <c r="U11" s="1" t="s">
        <v>29</v>
      </c>
      <c r="V11" s="3"/>
      <c r="W11" s="13"/>
      <c r="X11" s="4"/>
      <c r="Y11" s="21">
        <f t="shared" si="0"/>
        <v>0</v>
      </c>
      <c r="AA11" s="6">
        <v>1</v>
      </c>
      <c r="AB11" s="1" t="s">
        <v>78</v>
      </c>
      <c r="AC11" s="65">
        <v>0</v>
      </c>
      <c r="AD11" s="66"/>
    </row>
    <row r="12" spans="1:39" ht="27" customHeight="1">
      <c r="A12" s="20">
        <v>10</v>
      </c>
      <c r="B12" s="1" t="s">
        <v>56</v>
      </c>
      <c r="C12" s="34" t="s">
        <v>95</v>
      </c>
      <c r="D12" s="28"/>
      <c r="E12" s="2"/>
      <c r="F12" s="27"/>
      <c r="G12" s="27"/>
      <c r="H12" s="27"/>
      <c r="I12" s="29"/>
      <c r="J12" s="27"/>
      <c r="K12" s="2"/>
      <c r="L12" s="26"/>
      <c r="M12" s="26"/>
      <c r="N12" s="27"/>
      <c r="O12" s="26"/>
      <c r="P12" s="27"/>
      <c r="Q12" s="27"/>
      <c r="R12" s="21"/>
      <c r="T12" s="20">
        <v>9</v>
      </c>
      <c r="U12" s="1" t="s">
        <v>34</v>
      </c>
      <c r="V12" s="3"/>
      <c r="W12" s="13"/>
      <c r="X12" s="4"/>
      <c r="Y12" s="21">
        <f t="shared" si="0"/>
        <v>0</v>
      </c>
      <c r="AA12" s="6">
        <v>2</v>
      </c>
      <c r="AB12" s="1" t="s">
        <v>79</v>
      </c>
      <c r="AC12" s="65">
        <v>0</v>
      </c>
      <c r="AD12" s="66"/>
      <c r="AM12" s="33">
        <f>AM8-AM10</f>
        <v>0</v>
      </c>
    </row>
    <row r="13" spans="1:39" ht="27" customHeight="1">
      <c r="A13" s="20">
        <v>11</v>
      </c>
      <c r="B13" s="1" t="s">
        <v>100</v>
      </c>
      <c r="C13" s="34" t="s">
        <v>95</v>
      </c>
      <c r="D13" s="28"/>
      <c r="E13" s="2"/>
      <c r="F13" s="27"/>
      <c r="G13" s="27"/>
      <c r="H13" s="27"/>
      <c r="I13" s="29"/>
      <c r="J13" s="27"/>
      <c r="K13" s="2"/>
      <c r="L13" s="26"/>
      <c r="M13" s="26"/>
      <c r="N13" s="27"/>
      <c r="O13" s="26"/>
      <c r="P13" s="26"/>
      <c r="Q13" s="27"/>
      <c r="R13" s="21"/>
      <c r="T13" s="20">
        <v>10</v>
      </c>
      <c r="U13" s="1" t="s">
        <v>22</v>
      </c>
      <c r="V13" s="3"/>
      <c r="W13" s="13"/>
      <c r="X13" s="4"/>
      <c r="Y13" s="21">
        <f t="shared" ref="Y13:Y17" si="1">(W13+V13)*12</f>
        <v>0</v>
      </c>
      <c r="AA13" s="6">
        <v>3</v>
      </c>
      <c r="AB13" s="1" t="s">
        <v>80</v>
      </c>
      <c r="AC13" s="65">
        <v>0</v>
      </c>
      <c r="AD13" s="66"/>
    </row>
    <row r="14" spans="1:39" ht="27" customHeight="1">
      <c r="A14" s="20">
        <v>12</v>
      </c>
      <c r="B14" s="1" t="s">
        <v>59</v>
      </c>
      <c r="C14" s="34" t="s">
        <v>95</v>
      </c>
      <c r="D14" s="28"/>
      <c r="E14" s="2"/>
      <c r="F14" s="27"/>
      <c r="G14" s="27"/>
      <c r="H14" s="27"/>
      <c r="I14" s="29"/>
      <c r="J14" s="27"/>
      <c r="K14" s="2"/>
      <c r="L14" s="26"/>
      <c r="M14" s="26"/>
      <c r="N14" s="27"/>
      <c r="O14" s="26"/>
      <c r="P14" s="26"/>
      <c r="Q14" s="27"/>
      <c r="R14" s="21"/>
      <c r="T14" s="20">
        <v>11</v>
      </c>
      <c r="U14" s="1" t="s">
        <v>30</v>
      </c>
      <c r="V14" s="3"/>
      <c r="W14" s="13"/>
      <c r="X14" s="4"/>
      <c r="Y14" s="21">
        <f t="shared" si="1"/>
        <v>0</v>
      </c>
      <c r="AA14" s="6">
        <v>4</v>
      </c>
      <c r="AB14" s="1" t="s">
        <v>81</v>
      </c>
      <c r="AC14" s="65">
        <v>0</v>
      </c>
      <c r="AD14" s="66"/>
    </row>
    <row r="15" spans="1:39" ht="27" customHeight="1">
      <c r="A15" s="20">
        <v>13</v>
      </c>
      <c r="B15" s="1" t="s">
        <v>60</v>
      </c>
      <c r="C15" s="34" t="s">
        <v>95</v>
      </c>
      <c r="D15" s="27"/>
      <c r="E15" s="28"/>
      <c r="F15" s="28"/>
      <c r="G15" s="28"/>
      <c r="H15" s="26"/>
      <c r="I15" s="27"/>
      <c r="J15" s="27"/>
      <c r="K15" s="2"/>
      <c r="L15" s="26"/>
      <c r="M15" s="26"/>
      <c r="N15" s="27"/>
      <c r="O15" s="26"/>
      <c r="P15" s="26"/>
      <c r="Q15" s="27"/>
      <c r="R15" s="21"/>
      <c r="T15" s="20">
        <v>12</v>
      </c>
      <c r="U15" s="1" t="s">
        <v>27</v>
      </c>
      <c r="V15" s="3"/>
      <c r="W15" s="13"/>
      <c r="X15" s="4"/>
      <c r="Y15" s="21">
        <f t="shared" si="1"/>
        <v>0</v>
      </c>
    </row>
    <row r="16" spans="1:39" ht="27" customHeight="1">
      <c r="A16" s="20">
        <v>14</v>
      </c>
      <c r="B16" s="1" t="s">
        <v>63</v>
      </c>
      <c r="C16" s="34" t="s">
        <v>95</v>
      </c>
      <c r="D16" s="28"/>
      <c r="E16" s="2"/>
      <c r="F16" s="27"/>
      <c r="G16" s="27"/>
      <c r="H16" s="27"/>
      <c r="I16" s="27"/>
      <c r="J16" s="26"/>
      <c r="K16" s="2"/>
      <c r="L16" s="26"/>
      <c r="M16" s="26"/>
      <c r="N16" s="27"/>
      <c r="O16" s="26"/>
      <c r="P16" s="27"/>
      <c r="Q16" s="27"/>
      <c r="R16" s="21"/>
      <c r="T16" s="20">
        <v>13</v>
      </c>
      <c r="U16" s="1" t="s">
        <v>28</v>
      </c>
      <c r="V16" s="3"/>
      <c r="W16" s="13"/>
      <c r="X16" s="4"/>
      <c r="Y16" s="21">
        <f t="shared" si="1"/>
        <v>0</v>
      </c>
    </row>
    <row r="17" spans="1:25" ht="27" customHeight="1">
      <c r="A17" s="20">
        <v>15</v>
      </c>
      <c r="B17" s="1" t="s">
        <v>64</v>
      </c>
      <c r="C17" s="34" t="s">
        <v>95</v>
      </c>
      <c r="D17" s="28"/>
      <c r="E17" s="2"/>
      <c r="F17" s="26"/>
      <c r="G17" s="27"/>
      <c r="H17" s="26"/>
      <c r="I17" s="29"/>
      <c r="J17" s="28"/>
      <c r="K17" s="28"/>
      <c r="L17" s="26"/>
      <c r="M17" s="26"/>
      <c r="N17" s="27"/>
      <c r="O17" s="26"/>
      <c r="P17" s="26"/>
      <c r="Q17" s="27"/>
      <c r="R17" s="21"/>
      <c r="T17" s="20">
        <v>14</v>
      </c>
      <c r="U17" s="9" t="s">
        <v>89</v>
      </c>
      <c r="V17" s="3"/>
      <c r="W17" s="13"/>
      <c r="X17" s="4"/>
      <c r="Y17" s="21">
        <f t="shared" si="1"/>
        <v>0</v>
      </c>
    </row>
    <row r="18" spans="1:25" ht="27" customHeight="1">
      <c r="A18" s="20">
        <v>16</v>
      </c>
      <c r="B18" s="1" t="s">
        <v>65</v>
      </c>
      <c r="C18" s="34" t="s">
        <v>95</v>
      </c>
      <c r="D18" s="2"/>
      <c r="E18" s="28"/>
      <c r="F18" s="28"/>
      <c r="G18" s="28"/>
      <c r="H18" s="26"/>
      <c r="I18" s="27"/>
      <c r="J18" s="26"/>
      <c r="K18" s="2"/>
      <c r="L18" s="26"/>
      <c r="M18" s="26"/>
      <c r="N18" s="27"/>
      <c r="O18" s="26"/>
      <c r="P18" s="26"/>
      <c r="Q18" s="27"/>
      <c r="R18" s="21"/>
      <c r="T18" s="56" t="s">
        <v>86</v>
      </c>
      <c r="U18" s="57"/>
      <c r="V18" s="18">
        <f>SUM(V4:V17)</f>
        <v>0</v>
      </c>
      <c r="W18" s="18">
        <f>SUM(W4:W17)</f>
        <v>0</v>
      </c>
      <c r="X18" s="18">
        <f>SUM(X4:X17)</f>
        <v>0</v>
      </c>
      <c r="Y18" s="18">
        <f>SUM(Y4:Y17)</f>
        <v>0</v>
      </c>
    </row>
    <row r="19" spans="1:25" ht="27" customHeight="1">
      <c r="A19" s="20">
        <v>17</v>
      </c>
      <c r="B19" s="1" t="s">
        <v>66</v>
      </c>
      <c r="C19" s="34" t="s">
        <v>95</v>
      </c>
      <c r="D19" s="28"/>
      <c r="E19" s="27"/>
      <c r="F19" s="26"/>
      <c r="G19" s="27"/>
      <c r="H19" s="26"/>
      <c r="I19" s="26"/>
      <c r="J19" s="26"/>
      <c r="K19" s="26"/>
      <c r="L19" s="26"/>
      <c r="M19" s="26"/>
      <c r="N19" s="27"/>
      <c r="O19" s="26"/>
      <c r="P19" s="26"/>
      <c r="Q19" s="28"/>
      <c r="R19" s="21"/>
    </row>
    <row r="20" spans="1:25" ht="27" customHeight="1">
      <c r="A20" s="20">
        <v>18</v>
      </c>
      <c r="B20" s="1" t="s">
        <v>72</v>
      </c>
      <c r="C20" s="34" t="s">
        <v>95</v>
      </c>
      <c r="D20" s="28"/>
      <c r="E20" s="28"/>
      <c r="F20" s="26"/>
      <c r="G20" s="27"/>
      <c r="H20" s="26"/>
      <c r="I20" s="26"/>
      <c r="J20" s="26"/>
      <c r="K20" s="26"/>
      <c r="L20" s="26"/>
      <c r="M20" s="26"/>
      <c r="N20" s="27"/>
      <c r="O20" s="26"/>
      <c r="P20" s="26"/>
      <c r="Q20" s="27"/>
      <c r="R20" s="21"/>
    </row>
    <row r="21" spans="1:25" ht="25.15" customHeight="1">
      <c r="A21" s="20">
        <v>19</v>
      </c>
      <c r="B21" s="1" t="s">
        <v>73</v>
      </c>
      <c r="C21" s="34" t="s">
        <v>95</v>
      </c>
      <c r="D21" s="28"/>
      <c r="E21" s="28"/>
      <c r="F21" s="26"/>
      <c r="G21" s="28"/>
      <c r="H21" s="26"/>
      <c r="I21" s="26"/>
      <c r="J21" s="26"/>
      <c r="K21" s="26"/>
      <c r="L21" s="26"/>
      <c r="M21" s="26"/>
      <c r="N21" s="27"/>
      <c r="O21" s="26"/>
      <c r="P21" s="26"/>
      <c r="Q21" s="27"/>
      <c r="R21" s="21"/>
    </row>
    <row r="22" spans="1:25" ht="25.15" customHeight="1">
      <c r="A22" s="20">
        <v>20</v>
      </c>
      <c r="B22" s="1" t="s">
        <v>61</v>
      </c>
      <c r="C22" s="34" t="s">
        <v>95</v>
      </c>
      <c r="D22" s="28"/>
      <c r="E22" s="2"/>
      <c r="F22" s="27"/>
      <c r="G22" s="27"/>
      <c r="H22" s="26"/>
      <c r="I22" s="26"/>
      <c r="J22" s="26"/>
      <c r="K22" s="2"/>
      <c r="L22" s="28"/>
      <c r="M22" s="28"/>
      <c r="N22" s="27"/>
      <c r="O22" s="26"/>
      <c r="P22" s="26"/>
      <c r="Q22" s="27"/>
      <c r="R22" s="21"/>
    </row>
    <row r="23" spans="1:25" ht="25.15" customHeight="1">
      <c r="A23" s="20">
        <v>21</v>
      </c>
      <c r="B23" s="1" t="s">
        <v>68</v>
      </c>
      <c r="C23" s="34" t="s">
        <v>95</v>
      </c>
      <c r="D23" s="27"/>
      <c r="E23" s="28"/>
      <c r="F23" s="28"/>
      <c r="G23" s="28"/>
      <c r="H23" s="28"/>
      <c r="I23" s="26"/>
      <c r="J23" s="26"/>
      <c r="K23" s="28"/>
      <c r="L23" s="28"/>
      <c r="M23" s="28"/>
      <c r="N23" s="27"/>
      <c r="O23" s="26"/>
      <c r="P23" s="26"/>
      <c r="Q23" s="28"/>
      <c r="R23" s="21"/>
    </row>
    <row r="24" spans="1:25" ht="25.15" customHeight="1">
      <c r="A24" s="20">
        <v>22</v>
      </c>
      <c r="B24" s="1" t="s">
        <v>75</v>
      </c>
      <c r="C24" s="34" t="s">
        <v>98</v>
      </c>
      <c r="D24" s="28"/>
      <c r="E24" s="28"/>
      <c r="F24" s="28"/>
      <c r="G24" s="28"/>
      <c r="H24" s="28"/>
      <c r="I24" s="26"/>
      <c r="J24" s="26"/>
      <c r="K24" s="28"/>
      <c r="L24" s="28"/>
      <c r="M24" s="28"/>
      <c r="N24" s="27"/>
      <c r="O24" s="26"/>
      <c r="P24" s="26"/>
      <c r="Q24" s="28"/>
      <c r="R24" s="21"/>
    </row>
    <row r="25" spans="1:25" ht="25.15" customHeight="1">
      <c r="A25" s="20">
        <v>23</v>
      </c>
      <c r="B25" s="1" t="s">
        <v>57</v>
      </c>
      <c r="C25" s="35" t="s">
        <v>96</v>
      </c>
      <c r="D25" s="28"/>
      <c r="E25" s="2"/>
      <c r="F25" s="27"/>
      <c r="G25" s="27"/>
      <c r="H25" s="27"/>
      <c r="I25" s="27"/>
      <c r="J25" s="27"/>
      <c r="K25" s="2"/>
      <c r="L25" s="28"/>
      <c r="M25" s="28"/>
      <c r="N25" s="27"/>
      <c r="O25" s="27"/>
      <c r="P25" s="26"/>
      <c r="Q25" s="27"/>
      <c r="R25" s="21"/>
    </row>
    <row r="26" spans="1:25" ht="25.15" customHeight="1">
      <c r="A26" s="20">
        <v>24</v>
      </c>
      <c r="B26" s="1" t="s">
        <v>92</v>
      </c>
      <c r="C26" s="35" t="s">
        <v>96</v>
      </c>
      <c r="D26" s="28"/>
      <c r="E26" s="2"/>
      <c r="F26" s="27"/>
      <c r="G26" s="27"/>
      <c r="H26" s="27"/>
      <c r="I26" s="27"/>
      <c r="J26" s="27"/>
      <c r="K26" s="2"/>
      <c r="L26" s="28"/>
      <c r="M26" s="28"/>
      <c r="N26" s="27"/>
      <c r="O26" s="26"/>
      <c r="P26" s="26"/>
      <c r="Q26" s="27"/>
      <c r="R26" s="21"/>
    </row>
    <row r="27" spans="1:25" ht="25.15" customHeight="1">
      <c r="A27" s="20">
        <v>25</v>
      </c>
      <c r="B27" s="1" t="s">
        <v>58</v>
      </c>
      <c r="C27" s="35" t="s">
        <v>96</v>
      </c>
      <c r="D27" s="28"/>
      <c r="E27" s="27"/>
      <c r="F27" s="27"/>
      <c r="G27" s="27"/>
      <c r="H27" s="27"/>
      <c r="I27" s="27"/>
      <c r="J27" s="27"/>
      <c r="K27" s="2"/>
      <c r="L27" s="2"/>
      <c r="M27" s="2"/>
      <c r="N27" s="27"/>
      <c r="O27" s="26"/>
      <c r="P27" s="27"/>
      <c r="Q27" s="27"/>
      <c r="R27" s="21"/>
    </row>
    <row r="28" spans="1:25" ht="25.15" customHeight="1">
      <c r="A28" s="20">
        <v>26</v>
      </c>
      <c r="B28" s="1" t="s">
        <v>62</v>
      </c>
      <c r="C28" s="35" t="s">
        <v>96</v>
      </c>
      <c r="D28" s="28"/>
      <c r="E28" s="2"/>
      <c r="F28" s="27"/>
      <c r="G28" s="27"/>
      <c r="H28" s="26"/>
      <c r="I28" s="27"/>
      <c r="J28" s="2"/>
      <c r="K28" s="2"/>
      <c r="L28" s="28"/>
      <c r="M28" s="28"/>
      <c r="N28" s="27"/>
      <c r="O28" s="26"/>
      <c r="P28" s="28"/>
      <c r="Q28" s="28"/>
      <c r="R28" s="21"/>
    </row>
    <row r="29" spans="1:25" ht="25.15" customHeight="1">
      <c r="A29" s="20">
        <v>27</v>
      </c>
      <c r="B29" s="1" t="s">
        <v>67</v>
      </c>
      <c r="C29" s="35" t="s">
        <v>96</v>
      </c>
      <c r="D29" s="28"/>
      <c r="E29" s="2"/>
      <c r="F29" s="27"/>
      <c r="G29" s="27"/>
      <c r="H29" s="27"/>
      <c r="I29" s="29"/>
      <c r="J29" s="27"/>
      <c r="K29" s="2"/>
      <c r="L29" s="2"/>
      <c r="M29" s="2"/>
      <c r="N29" s="27"/>
      <c r="O29" s="26"/>
      <c r="P29" s="27"/>
      <c r="Q29" s="27"/>
      <c r="R29" s="21"/>
    </row>
    <row r="30" spans="1:25" ht="25.15" customHeight="1">
      <c r="A30" s="20">
        <v>28</v>
      </c>
      <c r="B30" s="1" t="s">
        <v>70</v>
      </c>
      <c r="C30" s="35" t="s">
        <v>96</v>
      </c>
      <c r="D30" s="27"/>
      <c r="E30" s="28"/>
      <c r="F30" s="28"/>
      <c r="G30" s="28"/>
      <c r="H30" s="28"/>
      <c r="I30" s="27"/>
      <c r="J30" s="28"/>
      <c r="K30" s="2"/>
      <c r="L30" s="28"/>
      <c r="M30" s="28"/>
      <c r="N30" s="27"/>
      <c r="O30" s="26"/>
      <c r="P30" s="28"/>
      <c r="Q30" s="27"/>
      <c r="R30" s="21"/>
    </row>
    <row r="31" spans="1:25" ht="25.15" customHeight="1">
      <c r="A31" s="20">
        <v>29</v>
      </c>
      <c r="B31" s="1" t="s">
        <v>69</v>
      </c>
      <c r="C31" s="35" t="s">
        <v>96</v>
      </c>
      <c r="D31" s="28"/>
      <c r="E31" s="2"/>
      <c r="F31" s="27"/>
      <c r="G31" s="27"/>
      <c r="H31" s="28"/>
      <c r="I31" s="28"/>
      <c r="J31" s="28"/>
      <c r="K31" s="2"/>
      <c r="L31" s="28"/>
      <c r="M31" s="28"/>
      <c r="N31" s="27"/>
      <c r="O31" s="26"/>
      <c r="P31" s="28"/>
      <c r="Q31" s="27"/>
      <c r="R31" s="21"/>
      <c r="S31" s="2">
        <v>100000</v>
      </c>
    </row>
    <row r="32" spans="1:25" ht="25.15" customHeight="1">
      <c r="A32" s="20">
        <v>30</v>
      </c>
      <c r="B32" s="1" t="s">
        <v>77</v>
      </c>
      <c r="C32" s="35" t="s">
        <v>96</v>
      </c>
      <c r="D32" s="28"/>
      <c r="E32" s="28"/>
      <c r="F32" s="28"/>
      <c r="G32" s="28"/>
      <c r="H32" s="28"/>
      <c r="I32" s="28"/>
      <c r="J32" s="28"/>
      <c r="K32" s="28"/>
      <c r="L32" s="28"/>
      <c r="M32" s="26"/>
      <c r="N32" s="26"/>
      <c r="O32" s="26"/>
      <c r="P32" s="28"/>
      <c r="Q32" s="27"/>
      <c r="R32" s="21"/>
      <c r="S32" s="24"/>
      <c r="V32" s="16">
        <f>R36+R45</f>
        <v>0</v>
      </c>
    </row>
    <row r="33" spans="1:19" ht="25.15" customHeight="1">
      <c r="A33" s="20">
        <v>31</v>
      </c>
      <c r="B33" s="1" t="s">
        <v>74</v>
      </c>
      <c r="C33" s="35" t="s">
        <v>96</v>
      </c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1"/>
      <c r="S33" s="24"/>
    </row>
    <row r="34" spans="1:19" ht="25.15" customHeight="1">
      <c r="A34" s="20">
        <v>32</v>
      </c>
      <c r="B34" s="1" t="s">
        <v>76</v>
      </c>
      <c r="C34" s="35" t="s">
        <v>96</v>
      </c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1"/>
      <c r="S34" s="24"/>
    </row>
    <row r="35" spans="1:19" ht="25.15" customHeight="1" thickBot="1">
      <c r="A35" s="20">
        <v>33</v>
      </c>
      <c r="B35" s="1" t="s">
        <v>71</v>
      </c>
      <c r="C35" s="35" t="s">
        <v>96</v>
      </c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1"/>
      <c r="S35" s="24"/>
    </row>
    <row r="36" spans="1:19" ht="25.15" customHeight="1" thickBot="1">
      <c r="A36" s="40" t="s">
        <v>18</v>
      </c>
      <c r="B36" s="41"/>
      <c r="C36" s="22"/>
      <c r="D36" s="12">
        <f t="shared" ref="D36:R36" si="2">SUM(D3:D35)</f>
        <v>0</v>
      </c>
      <c r="E36" s="12">
        <f t="shared" si="2"/>
        <v>0</v>
      </c>
      <c r="F36" s="12">
        <f t="shared" si="2"/>
        <v>0</v>
      </c>
      <c r="G36" s="12">
        <f>SUM(G3:G35)</f>
        <v>0</v>
      </c>
      <c r="H36" s="12">
        <f t="shared" si="2"/>
        <v>0</v>
      </c>
      <c r="I36" s="12">
        <f t="shared" si="2"/>
        <v>0</v>
      </c>
      <c r="J36" s="12">
        <f t="shared" si="2"/>
        <v>0</v>
      </c>
      <c r="K36" s="12">
        <f>SUM(K3:K35)</f>
        <v>0</v>
      </c>
      <c r="L36" s="12">
        <f t="shared" si="2"/>
        <v>0</v>
      </c>
      <c r="M36" s="12">
        <f t="shared" si="2"/>
        <v>0</v>
      </c>
      <c r="N36" s="12">
        <f t="shared" si="2"/>
        <v>0</v>
      </c>
      <c r="O36" s="12">
        <f t="shared" si="2"/>
        <v>0</v>
      </c>
      <c r="P36" s="12">
        <f t="shared" si="2"/>
        <v>0</v>
      </c>
      <c r="Q36" s="12">
        <f t="shared" si="2"/>
        <v>0</v>
      </c>
      <c r="R36" s="12">
        <f t="shared" si="2"/>
        <v>0</v>
      </c>
      <c r="S36" s="16"/>
    </row>
    <row r="37" spans="1:19" ht="48" customHeight="1">
      <c r="A37" s="18" t="s">
        <v>0</v>
      </c>
      <c r="B37" s="18" t="s">
        <v>1</v>
      </c>
      <c r="C37" s="18"/>
      <c r="D37" s="18" t="s">
        <v>43</v>
      </c>
      <c r="E37" s="19" t="s">
        <v>2</v>
      </c>
      <c r="F37" s="19" t="s">
        <v>3</v>
      </c>
      <c r="G37" s="19" t="s">
        <v>4</v>
      </c>
      <c r="H37" s="19" t="s">
        <v>5</v>
      </c>
      <c r="I37" s="19" t="s">
        <v>6</v>
      </c>
      <c r="J37" s="19" t="s">
        <v>88</v>
      </c>
      <c r="K37" s="19" t="s">
        <v>7</v>
      </c>
      <c r="L37" s="19" t="s">
        <v>8</v>
      </c>
      <c r="M37" s="19" t="s">
        <v>9</v>
      </c>
      <c r="N37" s="19" t="s">
        <v>10</v>
      </c>
      <c r="O37" s="19" t="s">
        <v>42</v>
      </c>
      <c r="P37" s="19" t="s">
        <v>11</v>
      </c>
      <c r="Q37" s="19" t="s">
        <v>12</v>
      </c>
      <c r="R37" s="18" t="s">
        <v>13</v>
      </c>
    </row>
    <row r="38" spans="1:19" ht="26.25">
      <c r="A38" s="20">
        <v>1</v>
      </c>
      <c r="B38" s="1" t="s">
        <v>16</v>
      </c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1">
        <f>SUM(D38:Q38)</f>
        <v>0</v>
      </c>
    </row>
    <row r="39" spans="1:19" ht="26.25">
      <c r="A39" s="20">
        <v>2</v>
      </c>
      <c r="B39" s="1" t="s">
        <v>14</v>
      </c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P39" s="2"/>
      <c r="R39" s="21">
        <f t="shared" ref="R39" si="3">SUM(D39:Q39)</f>
        <v>0</v>
      </c>
    </row>
    <row r="40" spans="1:19" ht="26.25">
      <c r="A40" s="20">
        <v>3</v>
      </c>
      <c r="B40" s="1" t="s">
        <v>44</v>
      </c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1">
        <f>SUM(D40:Q40)</f>
        <v>0</v>
      </c>
    </row>
    <row r="41" spans="1:19" ht="26.25">
      <c r="A41" s="20">
        <v>4</v>
      </c>
      <c r="B41" s="1" t="s">
        <v>17</v>
      </c>
      <c r="C41" s="1"/>
      <c r="D41" s="2"/>
      <c r="E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1">
        <f>SUM(D41:Q41)</f>
        <v>0</v>
      </c>
    </row>
    <row r="42" spans="1:19" ht="26.25">
      <c r="A42" s="20">
        <v>5</v>
      </c>
      <c r="B42" s="1" t="s">
        <v>97</v>
      </c>
      <c r="C42" s="1"/>
      <c r="D42" s="2"/>
      <c r="E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1">
        <f>SUM(D42:Q42)</f>
        <v>0</v>
      </c>
    </row>
    <row r="43" spans="1:19" ht="25.15" customHeight="1">
      <c r="A43" s="20">
        <v>6</v>
      </c>
      <c r="B43" s="1" t="s">
        <v>15</v>
      </c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1"/>
    </row>
    <row r="44" spans="1:19" ht="25.15" customHeight="1" thickBot="1">
      <c r="A44" s="20">
        <v>7</v>
      </c>
      <c r="B44" s="1" t="s">
        <v>82</v>
      </c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1"/>
    </row>
    <row r="45" spans="1:19" ht="25.15" customHeight="1" thickBot="1">
      <c r="A45" s="40" t="s">
        <v>18</v>
      </c>
      <c r="B45" s="41"/>
      <c r="C45" s="23"/>
      <c r="D45" s="14">
        <f>SUM(D38:D44)</f>
        <v>0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5">
        <f>SUM(R38:R44)</f>
        <v>0</v>
      </c>
    </row>
  </sheetData>
  <mergeCells count="17">
    <mergeCell ref="AC14:AD14"/>
    <mergeCell ref="A45:B45"/>
    <mergeCell ref="A36:B36"/>
    <mergeCell ref="A1:R1"/>
    <mergeCell ref="AA2:AD2"/>
    <mergeCell ref="AK2:AM2"/>
    <mergeCell ref="T2:Y2"/>
    <mergeCell ref="AF2:AI2"/>
    <mergeCell ref="T1:AM1"/>
    <mergeCell ref="T18:U18"/>
    <mergeCell ref="AK10:AL10"/>
    <mergeCell ref="AK8:AL8"/>
    <mergeCell ref="AA9:AD9"/>
    <mergeCell ref="AC10:AD10"/>
    <mergeCell ref="AC11:AD11"/>
    <mergeCell ref="AC12:AD12"/>
    <mergeCell ref="AC13:AD13"/>
  </mergeCells>
  <printOptions horizontalCentered="1" verticalCentered="1"/>
  <pageMargins left="0.7" right="0.7" top="0.75" bottom="0.75" header="0.3" footer="0.3"/>
  <pageSetup paperSize="8" scale="53" orientation="landscape" r:id="rId1"/>
  <rowBreaks count="1" manualBreakCount="1">
    <brk id="46" max="38" man="1"/>
  </rowBreaks>
  <colBreaks count="1" manualBreakCount="1">
    <brk id="19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اجمالى الدعم المالى 2026</vt:lpstr>
      <vt:lpstr>'اجمالى الدعم المالى 2026'!Print_Area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Tamer Ismail , تامر  اسماعيل</dc:creator>
  <cp:lastModifiedBy>Fatima Alsuwaidi , فاطمة السويدي</cp:lastModifiedBy>
  <cp:lastPrinted>2026-02-19T06:43:39Z</cp:lastPrinted>
  <dcterms:created xsi:type="dcterms:W3CDTF">2023-01-19T03:37:58Z</dcterms:created>
  <dcterms:modified xsi:type="dcterms:W3CDTF">2026-05-11T09:47:22Z</dcterms:modified>
</cp:coreProperties>
</file>